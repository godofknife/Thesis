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sely\Downloads\Plagiarism Checker\"/>
    </mc:Choice>
  </mc:AlternateContent>
  <bookViews>
    <workbookView xWindow="0" yWindow="0" windowWidth="18945" windowHeight="6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8" i="1" l="1"/>
  <c r="H62" i="1"/>
  <c r="G81" i="1"/>
  <c r="H77" i="1" s="1"/>
  <c r="G73" i="1"/>
  <c r="H69" i="1" s="1"/>
  <c r="G65" i="1"/>
  <c r="H61" i="1" s="1"/>
  <c r="G57" i="1"/>
  <c r="G49" i="1"/>
  <c r="H45" i="1" s="1"/>
  <c r="H38" i="1"/>
  <c r="G41" i="1"/>
  <c r="H37" i="1" s="1"/>
  <c r="H30" i="1"/>
  <c r="H29" i="1"/>
  <c r="G33" i="1"/>
  <c r="H22" i="1"/>
  <c r="H21" i="1"/>
  <c r="G25" i="1"/>
  <c r="G17" i="1"/>
  <c r="H13" i="1" s="1"/>
  <c r="G9" i="1"/>
  <c r="H5" i="1" s="1"/>
  <c r="I21" i="1" l="1"/>
  <c r="I29" i="1"/>
  <c r="H46" i="1"/>
  <c r="H70" i="1"/>
  <c r="I69" i="1" s="1"/>
  <c r="H6" i="1"/>
  <c r="H54" i="1"/>
  <c r="H53" i="1"/>
  <c r="I53" i="1" s="1"/>
  <c r="H14" i="1"/>
  <c r="I13" i="1" s="1"/>
  <c r="I5" i="1"/>
  <c r="I77" i="1"/>
  <c r="I61" i="1"/>
  <c r="N9" i="1"/>
  <c r="O6" i="1" s="1"/>
  <c r="O5" i="1" l="1"/>
  <c r="P5" i="1" s="1"/>
  <c r="N25" i="1" l="1"/>
  <c r="O22" i="1" s="1"/>
  <c r="N81" i="1"/>
  <c r="N73" i="1"/>
  <c r="O70" i="1" s="1"/>
  <c r="N65" i="1"/>
  <c r="O62" i="1" s="1"/>
  <c r="N57" i="1"/>
  <c r="O54" i="1" s="1"/>
  <c r="N49" i="1"/>
  <c r="O46" i="1" s="1"/>
  <c r="N41" i="1"/>
  <c r="O38" i="1" s="1"/>
  <c r="N33" i="1"/>
  <c r="O30" i="1" s="1"/>
  <c r="N17" i="1"/>
  <c r="P61" i="1" l="1"/>
  <c r="P45" i="1"/>
  <c r="O77" i="1"/>
  <c r="O78" i="1"/>
  <c r="P77" i="1" s="1"/>
  <c r="O13" i="1"/>
  <c r="O14" i="1"/>
  <c r="P21" i="1"/>
  <c r="O69" i="1"/>
  <c r="P69" i="1" s="1"/>
  <c r="O53" i="1"/>
  <c r="P53" i="1" s="1"/>
  <c r="O61" i="1"/>
  <c r="O45" i="1"/>
  <c r="O37" i="1"/>
  <c r="P37" i="1" s="1"/>
  <c r="O29" i="1"/>
  <c r="P29" i="1" s="1"/>
  <c r="O21" i="1"/>
  <c r="I45" i="1"/>
  <c r="P13" i="1" l="1"/>
  <c r="I37" i="1"/>
</calcChain>
</file>

<file path=xl/sharedStrings.xml><?xml version="1.0" encoding="utf-8"?>
<sst xmlns="http://schemas.openxmlformats.org/spreadsheetml/2006/main" count="122" uniqueCount="9">
  <si>
    <t>leven</t>
  </si>
  <si>
    <t>sinonim</t>
  </si>
  <si>
    <t>asli</t>
  </si>
  <si>
    <t>plagiat</t>
  </si>
  <si>
    <t>total</t>
  </si>
  <si>
    <t>Non Preprpocessing</t>
  </si>
  <si>
    <t>Preprocessing</t>
  </si>
  <si>
    <t>Benar</t>
  </si>
  <si>
    <t>Benaar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</si>
</sst>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P81"/>
  <sheetViews>
    <sheetView tabSelected="1" topLeftCell="A65" zoomScaleNormal="100" workbookViewId="0">
      <selection activeCell="D77" sqref="D77"/>
    </sheetView>
  </sheetViews>
  <sheetFormatPr defaultRowHeight="15" x14ac:dyDescent="0.25"/>
  <sheetData>
    <row r="1" spans="4:16" x14ac:dyDescent="0.25">
      <c r="F1" t="s">
        <v>5</v>
      </c>
      <c r="M1" t="s">
        <v>6</v>
      </c>
    </row>
    <row r="3" spans="4:16" x14ac:dyDescent="0.25">
      <c r="F3" t="s">
        <v>0</v>
      </c>
      <c r="G3" s="1">
        <v>244</v>
      </c>
      <c r="H3" s="1"/>
      <c r="I3" s="1"/>
      <c r="M3" t="s">
        <v>0</v>
      </c>
      <c r="N3" s="1">
        <v>53</v>
      </c>
      <c r="O3" s="1"/>
      <c r="P3" s="1"/>
    </row>
    <row r="4" spans="4:16" x14ac:dyDescent="0.25">
      <c r="F4" t="s">
        <v>1</v>
      </c>
      <c r="G4" s="1">
        <v>229</v>
      </c>
      <c r="H4" s="1"/>
      <c r="I4" s="1"/>
      <c r="M4" t="s">
        <v>1</v>
      </c>
      <c r="N4" s="1">
        <v>37</v>
      </c>
      <c r="O4" s="1"/>
      <c r="P4" s="1"/>
    </row>
    <row r="5" spans="4:16" x14ac:dyDescent="0.25">
      <c r="G5" s="1"/>
      <c r="H5" s="1">
        <f>(G3/G9/2)*100</f>
        <v>50.833333333333329</v>
      </c>
      <c r="I5" s="1">
        <f>(H5+H6)</f>
        <v>98.541666666666657</v>
      </c>
      <c r="N5" s="1"/>
      <c r="O5" s="1">
        <f>(N3/N9)*100</f>
        <v>22.083333333333332</v>
      </c>
      <c r="P5" s="1">
        <f>(O5+O6)/2</f>
        <v>18.75</v>
      </c>
    </row>
    <row r="6" spans="4:16" x14ac:dyDescent="0.25">
      <c r="E6">
        <v>1</v>
      </c>
      <c r="G6" s="1"/>
      <c r="H6" s="1">
        <f>(G4/G9/2)*100</f>
        <v>47.708333333333336</v>
      </c>
      <c r="I6" s="1"/>
      <c r="L6">
        <v>1</v>
      </c>
      <c r="N6" s="1"/>
      <c r="O6" s="1">
        <f>(N4/N9)*100</f>
        <v>15.416666666666668</v>
      </c>
      <c r="P6" s="1"/>
    </row>
    <row r="7" spans="4:16" x14ac:dyDescent="0.25">
      <c r="F7" t="s">
        <v>2</v>
      </c>
      <c r="G7" s="1">
        <v>119</v>
      </c>
      <c r="H7" s="1"/>
      <c r="I7" s="1"/>
      <c r="K7" t="s">
        <v>7</v>
      </c>
      <c r="M7" t="s">
        <v>2</v>
      </c>
      <c r="N7" s="1">
        <v>119</v>
      </c>
      <c r="O7" s="1"/>
      <c r="P7" s="1"/>
    </row>
    <row r="8" spans="4:16" x14ac:dyDescent="0.25">
      <c r="D8" t="s">
        <v>7</v>
      </c>
      <c r="F8" t="s">
        <v>3</v>
      </c>
      <c r="G8" s="1">
        <v>121</v>
      </c>
      <c r="H8" s="1"/>
      <c r="I8" s="1"/>
      <c r="M8" t="s">
        <v>3</v>
      </c>
      <c r="N8" s="1">
        <v>121</v>
      </c>
      <c r="O8" s="1"/>
      <c r="P8" s="1"/>
    </row>
    <row r="9" spans="4:16" x14ac:dyDescent="0.25">
      <c r="F9" t="s">
        <v>4</v>
      </c>
      <c r="G9" s="1">
        <f>(G7+G8)</f>
        <v>240</v>
      </c>
      <c r="H9" s="1"/>
      <c r="I9" s="1"/>
      <c r="M9" t="s">
        <v>4</v>
      </c>
      <c r="N9" s="1">
        <f>(N7+N8)</f>
        <v>240</v>
      </c>
      <c r="O9" s="1"/>
      <c r="P9" s="1"/>
    </row>
    <row r="11" spans="4:16" x14ac:dyDescent="0.25">
      <c r="F11" t="s">
        <v>0</v>
      </c>
      <c r="G11" s="1">
        <v>290</v>
      </c>
      <c r="H11" s="1"/>
      <c r="I11" s="1"/>
      <c r="M11" t="s">
        <v>0</v>
      </c>
      <c r="N11" s="1">
        <v>144</v>
      </c>
      <c r="O11" s="1"/>
      <c r="P11" s="1"/>
    </row>
    <row r="12" spans="4:16" x14ac:dyDescent="0.25">
      <c r="F12" t="s">
        <v>1</v>
      </c>
      <c r="G12" s="1">
        <v>114</v>
      </c>
      <c r="H12" s="1"/>
      <c r="I12" s="1"/>
      <c r="M12" t="s">
        <v>1</v>
      </c>
      <c r="N12" s="1">
        <v>70</v>
      </c>
      <c r="O12" s="1"/>
      <c r="P12" s="1"/>
    </row>
    <row r="13" spans="4:16" x14ac:dyDescent="0.25">
      <c r="G13" s="1"/>
      <c r="H13" s="1">
        <f>(G11/G17/2)*100</f>
        <v>42.028985507246375</v>
      </c>
      <c r="I13" s="1">
        <f>(H13+H14)</f>
        <v>58.550724637681157</v>
      </c>
      <c r="N13" s="1"/>
      <c r="O13" s="1">
        <f>(N11/N17)*100</f>
        <v>41.739130434782609</v>
      </c>
      <c r="P13" s="1">
        <f>(O13+O14)/2</f>
        <v>31.014492753623188</v>
      </c>
    </row>
    <row r="14" spans="4:16" x14ac:dyDescent="0.25">
      <c r="D14" t="s">
        <v>7</v>
      </c>
      <c r="E14">
        <v>2</v>
      </c>
      <c r="G14" s="1"/>
      <c r="H14" s="1">
        <f>(G12/G17/2)*100</f>
        <v>16.521739130434781</v>
      </c>
      <c r="I14" s="1"/>
      <c r="K14" t="s">
        <v>7</v>
      </c>
      <c r="L14">
        <v>2</v>
      </c>
      <c r="N14" s="1"/>
      <c r="O14" s="1">
        <f>(N12/N17)*100</f>
        <v>20.289855072463769</v>
      </c>
      <c r="P14" s="1"/>
    </row>
    <row r="15" spans="4:16" x14ac:dyDescent="0.25">
      <c r="F15" t="s">
        <v>2</v>
      </c>
      <c r="G15" s="1">
        <v>186</v>
      </c>
      <c r="H15" s="1"/>
      <c r="I15" s="1"/>
      <c r="M15" t="s">
        <v>2</v>
      </c>
      <c r="N15" s="1">
        <v>186</v>
      </c>
      <c r="O15" s="1"/>
      <c r="P15" s="1"/>
    </row>
    <row r="16" spans="4:16" x14ac:dyDescent="0.25">
      <c r="F16" t="s">
        <v>3</v>
      </c>
      <c r="G16" s="1">
        <v>159</v>
      </c>
      <c r="H16" s="1"/>
      <c r="I16" s="1"/>
      <c r="M16" t="s">
        <v>3</v>
      </c>
      <c r="N16" s="1">
        <v>159</v>
      </c>
      <c r="O16" s="1"/>
      <c r="P16" s="1"/>
    </row>
    <row r="17" spans="4:16" x14ac:dyDescent="0.25">
      <c r="F17" t="s">
        <v>4</v>
      </c>
      <c r="G17" s="1">
        <f>(G15+G16)</f>
        <v>345</v>
      </c>
      <c r="H17" s="1"/>
      <c r="I17" s="1"/>
      <c r="M17" t="s">
        <v>4</v>
      </c>
      <c r="N17" s="1">
        <f>(N15+N16)</f>
        <v>345</v>
      </c>
      <c r="O17" s="1"/>
      <c r="P17" s="1"/>
    </row>
    <row r="19" spans="4:16" x14ac:dyDescent="0.25">
      <c r="F19" t="s">
        <v>0</v>
      </c>
      <c r="G19" s="1">
        <v>48</v>
      </c>
      <c r="H19" s="1"/>
      <c r="I19" s="1"/>
      <c r="M19" t="s">
        <v>0</v>
      </c>
      <c r="N19" s="1">
        <v>34</v>
      </c>
      <c r="O19" s="1"/>
      <c r="P19" s="1"/>
    </row>
    <row r="20" spans="4:16" x14ac:dyDescent="0.25">
      <c r="F20" t="s">
        <v>1</v>
      </c>
      <c r="G20" s="1">
        <v>35</v>
      </c>
      <c r="H20" s="1"/>
      <c r="I20" s="1"/>
      <c r="M20" t="s">
        <v>1</v>
      </c>
      <c r="N20" s="1">
        <v>9</v>
      </c>
      <c r="O20" s="1"/>
      <c r="P20" s="1"/>
    </row>
    <row r="21" spans="4:16" x14ac:dyDescent="0.25">
      <c r="G21" s="1"/>
      <c r="H21" s="1">
        <f>(G19/G25/2)*100</f>
        <v>23.076923076923077</v>
      </c>
      <c r="I21" s="1">
        <f>(H21+H22)</f>
        <v>39.903846153846153</v>
      </c>
      <c r="N21" s="1"/>
      <c r="O21" s="1">
        <f>(N19/N25)*100</f>
        <v>32.692307692307693</v>
      </c>
      <c r="P21" s="1">
        <f>(O21+O22)/2</f>
        <v>20.673076923076923</v>
      </c>
    </row>
    <row r="22" spans="4:16" x14ac:dyDescent="0.25">
      <c r="D22" t="s">
        <v>7</v>
      </c>
      <c r="E22">
        <v>3</v>
      </c>
      <c r="G22" s="1"/>
      <c r="H22" s="1">
        <f>(G20/G25/2)*100</f>
        <v>16.826923076923077</v>
      </c>
      <c r="I22" s="1"/>
      <c r="K22" t="s">
        <v>7</v>
      </c>
      <c r="L22">
        <v>3</v>
      </c>
      <c r="N22" s="1"/>
      <c r="O22" s="1">
        <f>(N20/N25)*100</f>
        <v>8.6538461538461533</v>
      </c>
      <c r="P22" s="1"/>
    </row>
    <row r="23" spans="4:16" x14ac:dyDescent="0.25">
      <c r="F23" t="s">
        <v>2</v>
      </c>
      <c r="G23" s="1">
        <v>48</v>
      </c>
      <c r="H23" s="1"/>
      <c r="I23" s="1"/>
      <c r="M23" t="s">
        <v>2</v>
      </c>
      <c r="N23" s="1">
        <v>48</v>
      </c>
      <c r="O23" s="1"/>
      <c r="P23" s="1"/>
    </row>
    <row r="24" spans="4:16" x14ac:dyDescent="0.25">
      <c r="F24" t="s">
        <v>3</v>
      </c>
      <c r="G24" s="1">
        <v>56</v>
      </c>
      <c r="H24" s="1"/>
      <c r="I24" s="1"/>
      <c r="M24" t="s">
        <v>3</v>
      </c>
      <c r="N24" s="1">
        <v>56</v>
      </c>
      <c r="O24" s="1"/>
      <c r="P24" s="1"/>
    </row>
    <row r="25" spans="4:16" x14ac:dyDescent="0.25">
      <c r="F25" t="s">
        <v>4</v>
      </c>
      <c r="G25" s="1">
        <f>(G23+G24)</f>
        <v>104</v>
      </c>
      <c r="H25" s="1"/>
      <c r="I25" s="1"/>
      <c r="M25" t="s">
        <v>4</v>
      </c>
      <c r="N25" s="1">
        <f>(N23+N24)</f>
        <v>104</v>
      </c>
      <c r="O25" s="1"/>
      <c r="P25" s="1"/>
    </row>
    <row r="27" spans="4:16" x14ac:dyDescent="0.25">
      <c r="F27" t="s">
        <v>0</v>
      </c>
      <c r="G27" s="1">
        <v>164</v>
      </c>
      <c r="H27" s="1"/>
      <c r="I27" s="1"/>
      <c r="M27" t="s">
        <v>0</v>
      </c>
      <c r="N27" s="1">
        <v>75</v>
      </c>
      <c r="O27" s="1"/>
      <c r="P27" s="1"/>
    </row>
    <row r="28" spans="4:16" x14ac:dyDescent="0.25">
      <c r="F28" t="s">
        <v>1</v>
      </c>
      <c r="G28" s="1">
        <v>147</v>
      </c>
      <c r="H28" s="1"/>
      <c r="I28" s="1"/>
      <c r="M28" t="s">
        <v>1</v>
      </c>
      <c r="N28" s="1">
        <v>43</v>
      </c>
      <c r="O28" s="1"/>
      <c r="P28" s="1"/>
    </row>
    <row r="29" spans="4:16" x14ac:dyDescent="0.25">
      <c r="G29" s="1"/>
      <c r="H29" s="1">
        <f>(G27/G33/2)*100</f>
        <v>34.309623430962347</v>
      </c>
      <c r="I29" s="1">
        <f>(H29+H30)</f>
        <v>65.062761506276161</v>
      </c>
      <c r="N29" s="1"/>
      <c r="O29" s="1">
        <f>(N27/N33)*100</f>
        <v>31.380753138075313</v>
      </c>
      <c r="P29" s="1">
        <f>(O29+O30)/2</f>
        <v>24.686192468619247</v>
      </c>
    </row>
    <row r="30" spans="4:16" x14ac:dyDescent="0.25">
      <c r="D30" t="s">
        <v>7</v>
      </c>
      <c r="E30">
        <v>4</v>
      </c>
      <c r="G30" s="1"/>
      <c r="H30" s="1">
        <f>(G28/G33/2)*100</f>
        <v>30.753138075313807</v>
      </c>
      <c r="I30" s="1"/>
      <c r="K30" t="s">
        <v>7</v>
      </c>
      <c r="L30">
        <v>4</v>
      </c>
      <c r="N30" s="1"/>
      <c r="O30" s="1">
        <f>(N28/N33)*100</f>
        <v>17.99163179916318</v>
      </c>
      <c r="P30" s="1"/>
    </row>
    <row r="31" spans="4:16" x14ac:dyDescent="0.25">
      <c r="F31" t="s">
        <v>2</v>
      </c>
      <c r="G31" s="1">
        <v>123</v>
      </c>
      <c r="H31" s="1"/>
      <c r="I31" s="1"/>
      <c r="M31" t="s">
        <v>2</v>
      </c>
      <c r="N31" s="1">
        <v>123</v>
      </c>
      <c r="O31" s="1"/>
      <c r="P31" s="1"/>
    </row>
    <row r="32" spans="4:16" x14ac:dyDescent="0.25">
      <c r="F32" t="s">
        <v>3</v>
      </c>
      <c r="G32" s="1">
        <v>116</v>
      </c>
      <c r="H32" s="1"/>
      <c r="I32" s="1"/>
      <c r="M32" t="s">
        <v>3</v>
      </c>
      <c r="N32" s="1">
        <v>116</v>
      </c>
      <c r="O32" s="1"/>
      <c r="P32" s="1"/>
    </row>
    <row r="33" spans="4:16" x14ac:dyDescent="0.25">
      <c r="F33" t="s">
        <v>4</v>
      </c>
      <c r="G33" s="1">
        <f>(G31+G32)</f>
        <v>239</v>
      </c>
      <c r="H33" s="1"/>
      <c r="I33" s="1"/>
      <c r="M33" t="s">
        <v>4</v>
      </c>
      <c r="N33" s="1">
        <f>(N31+N32)</f>
        <v>239</v>
      </c>
      <c r="O33" s="1"/>
      <c r="P33" s="1"/>
    </row>
    <row r="35" spans="4:16" x14ac:dyDescent="0.25">
      <c r="F35" t="s">
        <v>0</v>
      </c>
      <c r="G35" s="1">
        <v>158</v>
      </c>
      <c r="H35" s="1"/>
      <c r="I35" s="1"/>
      <c r="M35" t="s">
        <v>0</v>
      </c>
      <c r="N35" s="1">
        <v>61</v>
      </c>
      <c r="O35" s="1"/>
      <c r="P35" s="1"/>
    </row>
    <row r="36" spans="4:16" x14ac:dyDescent="0.25">
      <c r="F36" t="s">
        <v>1</v>
      </c>
      <c r="G36" s="1">
        <v>57</v>
      </c>
      <c r="H36" s="1"/>
      <c r="I36" s="1"/>
      <c r="M36" t="s">
        <v>1</v>
      </c>
      <c r="N36" s="1">
        <v>12</v>
      </c>
      <c r="O36" s="1"/>
      <c r="P36" s="1"/>
    </row>
    <row r="37" spans="4:16" x14ac:dyDescent="0.25">
      <c r="G37" s="1"/>
      <c r="H37" s="1">
        <f>(G35/G41/2)*100</f>
        <v>40.72164948453608</v>
      </c>
      <c r="I37" s="1">
        <f>(H37+H38)</f>
        <v>55.412371134020617</v>
      </c>
      <c r="N37" s="1"/>
      <c r="O37" s="1">
        <f>(N35/N41)*100</f>
        <v>31.443298969072163</v>
      </c>
      <c r="P37" s="1">
        <f>(O37+O38)/2</f>
        <v>18.814432989690722</v>
      </c>
    </row>
    <row r="38" spans="4:16" x14ac:dyDescent="0.25">
      <c r="D38" t="s">
        <v>7</v>
      </c>
      <c r="E38">
        <v>5</v>
      </c>
      <c r="G38" s="1"/>
      <c r="H38" s="1">
        <f>(G36/G41/2)*100</f>
        <v>14.690721649484537</v>
      </c>
      <c r="I38" s="1"/>
      <c r="K38" t="s">
        <v>7</v>
      </c>
      <c r="L38">
        <v>5</v>
      </c>
      <c r="N38" s="1"/>
      <c r="O38" s="1">
        <f>(N36/N41)*100</f>
        <v>6.1855670103092786</v>
      </c>
      <c r="P38" s="1"/>
    </row>
    <row r="39" spans="4:16" x14ac:dyDescent="0.25">
      <c r="F39" t="s">
        <v>2</v>
      </c>
      <c r="G39" s="1">
        <v>102</v>
      </c>
      <c r="H39" s="1"/>
      <c r="I39" s="1"/>
      <c r="M39" t="s">
        <v>2</v>
      </c>
      <c r="N39" s="1">
        <v>102</v>
      </c>
      <c r="O39" s="1"/>
      <c r="P39" s="1"/>
    </row>
    <row r="40" spans="4:16" x14ac:dyDescent="0.25">
      <c r="F40" t="s">
        <v>3</v>
      </c>
      <c r="G40" s="1">
        <v>92</v>
      </c>
      <c r="H40" s="1"/>
      <c r="I40" s="1"/>
      <c r="M40" t="s">
        <v>3</v>
      </c>
      <c r="N40" s="1">
        <v>92</v>
      </c>
      <c r="O40" s="1"/>
      <c r="P40" s="1"/>
    </row>
    <row r="41" spans="4:16" x14ac:dyDescent="0.25">
      <c r="F41" t="s">
        <v>4</v>
      </c>
      <c r="G41" s="1">
        <f>(G39+G40)</f>
        <v>194</v>
      </c>
      <c r="H41" s="1"/>
      <c r="I41" s="1"/>
      <c r="M41" t="s">
        <v>4</v>
      </c>
      <c r="N41" s="1">
        <f>(N39+N40)</f>
        <v>194</v>
      </c>
      <c r="O41" s="1"/>
      <c r="P41" s="1"/>
    </row>
    <row r="43" spans="4:16" x14ac:dyDescent="0.25">
      <c r="F43" t="s">
        <v>0</v>
      </c>
      <c r="G43" s="1">
        <v>545</v>
      </c>
      <c r="H43" s="1"/>
      <c r="I43" s="1"/>
      <c r="M43" t="s">
        <v>0</v>
      </c>
      <c r="N43" s="1">
        <v>359</v>
      </c>
      <c r="O43" s="1"/>
      <c r="P43" s="1"/>
    </row>
    <row r="44" spans="4:16" x14ac:dyDescent="0.25">
      <c r="F44" t="s">
        <v>1</v>
      </c>
      <c r="G44" s="1">
        <v>303</v>
      </c>
      <c r="H44" s="1"/>
      <c r="I44" s="1"/>
      <c r="M44" t="s">
        <v>1</v>
      </c>
      <c r="N44" s="1">
        <v>149</v>
      </c>
      <c r="O44" s="1"/>
      <c r="P44" s="1"/>
    </row>
    <row r="45" spans="4:16" x14ac:dyDescent="0.25">
      <c r="G45" s="1"/>
      <c r="H45" s="1">
        <f>(G43/G49/2)*100</f>
        <v>53.22265625</v>
      </c>
      <c r="I45" s="1">
        <f>(H45+H46)</f>
        <v>82.8125</v>
      </c>
      <c r="N45" s="1"/>
      <c r="O45" s="1">
        <f>(N43/N49)*100</f>
        <v>70.1171875</v>
      </c>
      <c r="P45" s="1">
        <f>(O45+O46)/2</f>
        <v>49.609375</v>
      </c>
    </row>
    <row r="46" spans="4:16" x14ac:dyDescent="0.25">
      <c r="D46" t="s">
        <v>7</v>
      </c>
      <c r="E46">
        <v>6</v>
      </c>
      <c r="G46" s="1"/>
      <c r="H46" s="1">
        <f>(G44/G49/2)*100</f>
        <v>29.58984375</v>
      </c>
      <c r="I46" s="1"/>
      <c r="K46" t="s">
        <v>7</v>
      </c>
      <c r="L46">
        <v>6</v>
      </c>
      <c r="N46" s="1"/>
      <c r="O46" s="1">
        <f>(N44/N49)*100</f>
        <v>29.1015625</v>
      </c>
      <c r="P46" s="1"/>
    </row>
    <row r="47" spans="4:16" x14ac:dyDescent="0.25">
      <c r="F47" t="s">
        <v>2</v>
      </c>
      <c r="G47" s="1">
        <v>241</v>
      </c>
      <c r="H47" s="1"/>
      <c r="I47" s="1"/>
      <c r="M47" t="s">
        <v>2</v>
      </c>
      <c r="N47" s="1">
        <v>241</v>
      </c>
      <c r="O47" s="1"/>
      <c r="P47" s="1"/>
    </row>
    <row r="48" spans="4:16" x14ac:dyDescent="0.25">
      <c r="F48" t="s">
        <v>3</v>
      </c>
      <c r="G48" s="1">
        <v>271</v>
      </c>
      <c r="H48" s="1"/>
      <c r="I48" s="1"/>
      <c r="M48" t="s">
        <v>3</v>
      </c>
      <c r="N48" s="1">
        <v>271</v>
      </c>
      <c r="O48" s="1"/>
      <c r="P48" s="1"/>
    </row>
    <row r="49" spans="4:16" x14ac:dyDescent="0.25">
      <c r="F49" t="s">
        <v>4</v>
      </c>
      <c r="G49" s="1">
        <f>(G47+G48)</f>
        <v>512</v>
      </c>
      <c r="H49" s="1"/>
      <c r="I49" s="1"/>
      <c r="M49" t="s">
        <v>4</v>
      </c>
      <c r="N49" s="1">
        <f>(N47+N48)</f>
        <v>512</v>
      </c>
      <c r="O49" s="1"/>
      <c r="P49" s="1"/>
    </row>
    <row r="51" spans="4:16" x14ac:dyDescent="0.25">
      <c r="F51" t="s">
        <v>0</v>
      </c>
      <c r="G51" s="1">
        <v>139</v>
      </c>
      <c r="H51" s="1"/>
      <c r="I51" s="1"/>
      <c r="M51" t="s">
        <v>0</v>
      </c>
      <c r="N51" s="1">
        <v>62</v>
      </c>
      <c r="O51" s="1"/>
      <c r="P51" s="1"/>
    </row>
    <row r="52" spans="4:16" x14ac:dyDescent="0.25">
      <c r="F52" t="s">
        <v>1</v>
      </c>
      <c r="G52" s="1">
        <v>65</v>
      </c>
      <c r="H52" s="1"/>
      <c r="I52" s="1"/>
      <c r="M52" t="s">
        <v>1</v>
      </c>
      <c r="N52" s="1">
        <v>30</v>
      </c>
      <c r="O52" s="1"/>
      <c r="P52" s="1"/>
    </row>
    <row r="53" spans="4:16" x14ac:dyDescent="0.25">
      <c r="G53" s="1"/>
      <c r="H53" s="1">
        <f>(G51/G57/2)*100</f>
        <v>30.349344978165938</v>
      </c>
      <c r="I53" s="1">
        <f>(H53+H54)</f>
        <v>44.5414847161572</v>
      </c>
      <c r="N53" s="1"/>
      <c r="O53" s="1">
        <f>(N51/N57)*100</f>
        <v>27.074235807860266</v>
      </c>
      <c r="P53" s="1">
        <f>(O53+O54)/2</f>
        <v>20.087336244541486</v>
      </c>
    </row>
    <row r="54" spans="4:16" x14ac:dyDescent="0.25">
      <c r="D54" t="s">
        <v>7</v>
      </c>
      <c r="E54">
        <v>7</v>
      </c>
      <c r="G54" s="1"/>
      <c r="H54" s="1">
        <f>(G52/G57/2)*100</f>
        <v>14.192139737991265</v>
      </c>
      <c r="I54" s="1"/>
      <c r="K54" t="s">
        <v>7</v>
      </c>
      <c r="L54">
        <v>7</v>
      </c>
      <c r="N54" s="1"/>
      <c r="O54" s="1">
        <f>(N52/N57)*100</f>
        <v>13.100436681222707</v>
      </c>
      <c r="P54" s="1"/>
    </row>
    <row r="55" spans="4:16" x14ac:dyDescent="0.25">
      <c r="F55" t="s">
        <v>2</v>
      </c>
      <c r="G55" s="1">
        <v>100</v>
      </c>
      <c r="H55" s="1"/>
      <c r="I55" s="1"/>
      <c r="M55" t="s">
        <v>2</v>
      </c>
      <c r="N55" s="1">
        <v>100</v>
      </c>
      <c r="O55" s="1"/>
      <c r="P55" s="1"/>
    </row>
    <row r="56" spans="4:16" x14ac:dyDescent="0.25">
      <c r="F56" t="s">
        <v>3</v>
      </c>
      <c r="G56" s="1">
        <v>129</v>
      </c>
      <c r="H56" s="1"/>
      <c r="I56" s="1"/>
      <c r="M56" t="s">
        <v>3</v>
      </c>
      <c r="N56" s="1">
        <v>129</v>
      </c>
      <c r="O56" s="1"/>
      <c r="P56" s="1"/>
    </row>
    <row r="57" spans="4:16" x14ac:dyDescent="0.25">
      <c r="F57" t="s">
        <v>4</v>
      </c>
      <c r="G57" s="1">
        <f>(G55+G56)</f>
        <v>229</v>
      </c>
      <c r="H57" s="1"/>
      <c r="I57" s="1"/>
      <c r="M57" t="s">
        <v>4</v>
      </c>
      <c r="N57" s="1">
        <f>(N55+N56)</f>
        <v>229</v>
      </c>
      <c r="O57" s="1"/>
      <c r="P57" s="1"/>
    </row>
    <row r="59" spans="4:16" x14ac:dyDescent="0.25">
      <c r="F59" t="s">
        <v>0</v>
      </c>
      <c r="G59" s="1">
        <v>328</v>
      </c>
      <c r="H59" s="1"/>
      <c r="I59" s="1"/>
      <c r="M59" t="s">
        <v>0</v>
      </c>
      <c r="N59" s="1">
        <v>242</v>
      </c>
      <c r="O59" s="1"/>
      <c r="P59" s="1"/>
    </row>
    <row r="60" spans="4:16" x14ac:dyDescent="0.25">
      <c r="F60" t="s">
        <v>1</v>
      </c>
      <c r="G60" s="1">
        <v>218</v>
      </c>
      <c r="H60" s="1"/>
      <c r="I60" s="1"/>
      <c r="M60" t="s">
        <v>1</v>
      </c>
      <c r="N60" s="1">
        <v>87</v>
      </c>
      <c r="O60" s="1"/>
      <c r="P60" s="1"/>
    </row>
    <row r="61" spans="4:16" x14ac:dyDescent="0.25">
      <c r="G61" s="1"/>
      <c r="H61" s="1">
        <f>(G59/G65/2)*100</f>
        <v>37.357630979498865</v>
      </c>
      <c r="I61" s="1">
        <f>H61+H62</f>
        <v>62.186788154897499</v>
      </c>
      <c r="N61" s="1"/>
      <c r="O61" s="1">
        <f>(N59/N65)*100</f>
        <v>55.125284738041003</v>
      </c>
      <c r="P61" s="1">
        <f>(O61+O62)/2</f>
        <v>37.47152619589977</v>
      </c>
    </row>
    <row r="62" spans="4:16" x14ac:dyDescent="0.25">
      <c r="D62" t="s">
        <v>7</v>
      </c>
      <c r="E62">
        <v>8</v>
      </c>
      <c r="G62" s="1"/>
      <c r="H62" s="1">
        <f>(G60/G65/2)*100</f>
        <v>24.829157175398635</v>
      </c>
      <c r="I62" s="1"/>
      <c r="K62" t="s">
        <v>7</v>
      </c>
      <c r="L62">
        <v>8</v>
      </c>
      <c r="N62" s="1"/>
      <c r="O62" s="1">
        <f>(N60/N65)*100</f>
        <v>19.817767653758541</v>
      </c>
      <c r="P62" s="1"/>
    </row>
    <row r="63" spans="4:16" x14ac:dyDescent="0.25">
      <c r="F63" t="s">
        <v>2</v>
      </c>
      <c r="G63" s="1">
        <v>160</v>
      </c>
      <c r="H63" s="1"/>
      <c r="I63" s="1"/>
      <c r="M63" t="s">
        <v>2</v>
      </c>
      <c r="N63" s="1">
        <v>160</v>
      </c>
      <c r="O63" s="1"/>
      <c r="P63" s="1"/>
    </row>
    <row r="64" spans="4:16" x14ac:dyDescent="0.25">
      <c r="F64" t="s">
        <v>3</v>
      </c>
      <c r="G64" s="1">
        <v>279</v>
      </c>
      <c r="H64" s="1"/>
      <c r="I64" s="1"/>
      <c r="M64" t="s">
        <v>3</v>
      </c>
      <c r="N64" s="1">
        <v>279</v>
      </c>
      <c r="O64" s="1"/>
      <c r="P64" s="1"/>
    </row>
    <row r="65" spans="4:16" x14ac:dyDescent="0.25">
      <c r="F65" t="s">
        <v>4</v>
      </c>
      <c r="G65" s="1">
        <f>(G63+G64)</f>
        <v>439</v>
      </c>
      <c r="H65" s="1"/>
      <c r="I65" s="1"/>
      <c r="M65" t="s">
        <v>4</v>
      </c>
      <c r="N65" s="1">
        <f>(N63+N64)</f>
        <v>439</v>
      </c>
      <c r="O65" s="1"/>
      <c r="P65" s="1"/>
    </row>
    <row r="67" spans="4:16" x14ac:dyDescent="0.25">
      <c r="F67" t="s">
        <v>0</v>
      </c>
      <c r="G67" s="1">
        <v>131</v>
      </c>
      <c r="H67" s="1"/>
      <c r="I67" s="1"/>
      <c r="M67" t="s">
        <v>0</v>
      </c>
      <c r="N67" s="1">
        <v>110</v>
      </c>
      <c r="O67" s="1"/>
      <c r="P67" s="1"/>
    </row>
    <row r="68" spans="4:16" x14ac:dyDescent="0.25">
      <c r="F68" t="s">
        <v>1</v>
      </c>
      <c r="G68" s="1">
        <v>92</v>
      </c>
      <c r="H68" s="1"/>
      <c r="I68" s="1"/>
      <c r="M68" t="s">
        <v>1</v>
      </c>
      <c r="N68" s="1">
        <v>65</v>
      </c>
      <c r="O68" s="1"/>
      <c r="P68" s="1"/>
    </row>
    <row r="69" spans="4:16" x14ac:dyDescent="0.25">
      <c r="D69" t="s">
        <v>8</v>
      </c>
      <c r="E69">
        <v>9</v>
      </c>
      <c r="G69" s="1"/>
      <c r="H69" s="1">
        <f>(G67/G73/2)*100</f>
        <v>30.607476635514018</v>
      </c>
      <c r="I69" s="1">
        <f>(H69+H70)</f>
        <v>52.10280373831776</v>
      </c>
      <c r="K69" t="s">
        <v>7</v>
      </c>
      <c r="L69">
        <v>9</v>
      </c>
      <c r="N69" s="1"/>
      <c r="O69" s="1">
        <f>(N67/N73)*100</f>
        <v>51.401869158878498</v>
      </c>
      <c r="P69" s="1">
        <f>(O69+O70)/2</f>
        <v>40.887850467289717</v>
      </c>
    </row>
    <row r="70" spans="4:16" x14ac:dyDescent="0.25">
      <c r="G70" s="1"/>
      <c r="H70" s="1">
        <f>(G68/G73/2)*100</f>
        <v>21.495327102803738</v>
      </c>
      <c r="I70" s="1"/>
      <c r="N70" s="1"/>
      <c r="O70" s="1">
        <f>(N68/N73)*100</f>
        <v>30.373831775700932</v>
      </c>
      <c r="P70" s="1"/>
    </row>
    <row r="71" spans="4:16" x14ac:dyDescent="0.25">
      <c r="F71" t="s">
        <v>2</v>
      </c>
      <c r="G71" s="1">
        <v>115</v>
      </c>
      <c r="H71" s="1"/>
      <c r="I71" s="1"/>
      <c r="M71" t="s">
        <v>2</v>
      </c>
      <c r="N71" s="1">
        <v>115</v>
      </c>
      <c r="O71" s="1"/>
      <c r="P71" s="1"/>
    </row>
    <row r="72" spans="4:16" x14ac:dyDescent="0.25">
      <c r="F72" t="s">
        <v>3</v>
      </c>
      <c r="G72" s="1">
        <v>99</v>
      </c>
      <c r="H72" s="1"/>
      <c r="I72" s="1"/>
      <c r="M72" t="s">
        <v>3</v>
      </c>
      <c r="N72" s="1">
        <v>99</v>
      </c>
      <c r="O72" s="1"/>
      <c r="P72" s="1"/>
    </row>
    <row r="73" spans="4:16" x14ac:dyDescent="0.25">
      <c r="F73" t="s">
        <v>4</v>
      </c>
      <c r="G73" s="1">
        <f>(G71+G72)</f>
        <v>214</v>
      </c>
      <c r="H73" s="1"/>
      <c r="I73" s="1"/>
      <c r="M73" t="s">
        <v>4</v>
      </c>
      <c r="N73" s="1">
        <f>(N71+N72)</f>
        <v>214</v>
      </c>
      <c r="O73" s="1"/>
      <c r="P73" s="1"/>
    </row>
    <row r="75" spans="4:16" x14ac:dyDescent="0.25">
      <c r="F75" t="s">
        <v>0</v>
      </c>
      <c r="G75" s="1">
        <v>128</v>
      </c>
      <c r="H75" s="1"/>
      <c r="I75" s="1"/>
      <c r="M75" t="s">
        <v>0</v>
      </c>
      <c r="N75" s="1">
        <v>148</v>
      </c>
      <c r="O75" s="1"/>
      <c r="P75" s="1"/>
    </row>
    <row r="76" spans="4:16" x14ac:dyDescent="0.25">
      <c r="F76" t="s">
        <v>1</v>
      </c>
      <c r="G76" s="1">
        <v>86</v>
      </c>
      <c r="H76" s="1"/>
      <c r="I76" s="1"/>
      <c r="M76" t="s">
        <v>1</v>
      </c>
      <c r="N76" s="1">
        <v>9</v>
      </c>
      <c r="O76" s="1"/>
      <c r="P76" s="1"/>
    </row>
    <row r="77" spans="4:16" x14ac:dyDescent="0.25">
      <c r="D77" t="s">
        <v>7</v>
      </c>
      <c r="E77">
        <v>10</v>
      </c>
      <c r="G77" s="1"/>
      <c r="H77" s="1">
        <f>(G75/G81/2)*100</f>
        <v>31.527093596059114</v>
      </c>
      <c r="I77" s="1">
        <f>(H77+H78)</f>
        <v>52.709359605911331</v>
      </c>
      <c r="K77" t="s">
        <v>7</v>
      </c>
      <c r="L77">
        <v>10</v>
      </c>
      <c r="N77" s="1"/>
      <c r="O77" s="1">
        <f>(N75/N81)*100</f>
        <v>72.906403940886705</v>
      </c>
      <c r="P77" s="1">
        <f>(O77+O78)/2</f>
        <v>38.669950738916256</v>
      </c>
    </row>
    <row r="78" spans="4:16" x14ac:dyDescent="0.25">
      <c r="G78" s="1"/>
      <c r="H78" s="1">
        <f>(G76/G81/2)*100</f>
        <v>21.182266009852217</v>
      </c>
      <c r="I78" s="1"/>
      <c r="N78" s="1"/>
      <c r="O78" s="1">
        <f>(N76/N81)*100</f>
        <v>4.4334975369458132</v>
      </c>
      <c r="P78" s="1"/>
    </row>
    <row r="79" spans="4:16" x14ac:dyDescent="0.25">
      <c r="F79" t="s">
        <v>2</v>
      </c>
      <c r="G79" s="1">
        <v>107</v>
      </c>
      <c r="H79" s="1"/>
      <c r="I79" s="1"/>
      <c r="M79" t="s">
        <v>2</v>
      </c>
      <c r="N79" s="1">
        <v>107</v>
      </c>
      <c r="O79" s="1"/>
      <c r="P79" s="1"/>
    </row>
    <row r="80" spans="4:16" x14ac:dyDescent="0.25">
      <c r="F80" t="s">
        <v>3</v>
      </c>
      <c r="G80" s="1">
        <v>96</v>
      </c>
      <c r="H80" s="1"/>
      <c r="I80" s="1"/>
      <c r="M80" t="s">
        <v>3</v>
      </c>
      <c r="N80" s="1">
        <v>96</v>
      </c>
      <c r="O80" s="1"/>
      <c r="P80" s="1"/>
    </row>
    <row r="81" spans="6:16" x14ac:dyDescent="0.25">
      <c r="F81" t="s">
        <v>4</v>
      </c>
      <c r="G81" s="1">
        <f>(G79+G80)</f>
        <v>203</v>
      </c>
      <c r="H81" s="1"/>
      <c r="I81" s="1"/>
      <c r="M81" t="s">
        <v>4</v>
      </c>
      <c r="N81" s="1">
        <f>(N79+N80)</f>
        <v>203</v>
      </c>
      <c r="O81" s="1"/>
      <c r="P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ASUS_A455LD</dc:creator>
  <cp:lastModifiedBy>Wisely</cp:lastModifiedBy>
  <dcterms:created xsi:type="dcterms:W3CDTF">2016-08-07T15:17:10Z</dcterms:created>
  <dcterms:modified xsi:type="dcterms:W3CDTF">2016-08-09T09:30:09Z</dcterms:modified>
</cp:coreProperties>
</file>
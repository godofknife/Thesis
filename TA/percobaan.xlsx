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_A455LD\Desktop\"/>
    </mc:Choice>
  </mc:AlternateContent>
  <bookViews>
    <workbookView xWindow="0" yWindow="0" windowWidth="17880" windowHeight="6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" i="1" l="1"/>
  <c r="C66" i="1"/>
  <c r="C60" i="1"/>
  <c r="C54" i="1"/>
  <c r="C48" i="1"/>
  <c r="C42" i="1"/>
  <c r="C36" i="1"/>
  <c r="C30" i="1"/>
  <c r="C23" i="1"/>
  <c r="C16" i="1"/>
  <c r="F8" i="1"/>
</calcChain>
</file>

<file path=xl/sharedStrings.xml><?xml version="1.0" encoding="utf-8"?>
<sst xmlns="http://schemas.openxmlformats.org/spreadsheetml/2006/main" count="272" uniqueCount="85">
  <si>
    <t>Perkembangan</t>
  </si>
  <si>
    <t>zaman</t>
  </si>
  <si>
    <t>yang</t>
  </si>
  <si>
    <t>semakin</t>
  </si>
  <si>
    <t>modern</t>
  </si>
  <si>
    <t>membuat</t>
  </si>
  <si>
    <t>manusia</t>
  </si>
  <si>
    <t>mudah</t>
  </si>
  <si>
    <t>dalam</t>
  </si>
  <si>
    <t>berinteraksi</t>
  </si>
  <si>
    <t>dengan</t>
  </si>
  <si>
    <t>sesamanya</t>
  </si>
  <si>
    <t>Kemajuan</t>
  </si>
  <si>
    <t>di</t>
  </si>
  <si>
    <t>abad</t>
  </si>
  <si>
    <t>lebih</t>
  </si>
  <si>
    <t>maju</t>
  </si>
  <si>
    <t>ini</t>
  </si>
  <si>
    <t>menjadikan</t>
  </si>
  <si>
    <t>setiap</t>
  </si>
  <si>
    <t>orang</t>
  </si>
  <si>
    <t>gampang</t>
  </si>
  <si>
    <t>berhubungan</t>
  </si>
  <si>
    <t>Selain</t>
  </si>
  <si>
    <t>kemudahan</t>
  </si>
  <si>
    <t>dapat</t>
  </si>
  <si>
    <t>informasi</t>
  </si>
  <si>
    <t>terbaru</t>
  </si>
  <si>
    <t>memperoleh</t>
  </si>
  <si>
    <t>dan</t>
  </si>
  <si>
    <t>Salah</t>
  </si>
  <si>
    <t>satu</t>
  </si>
  <si>
    <t>sarana</t>
  </si>
  <si>
    <t>mempermudahkan</t>
  </si>
  <si>
    <t>perihal</t>
  </si>
  <si>
    <t>ialah</t>
  </si>
  <si>
    <t>internet</t>
  </si>
  <si>
    <t>Pemakainya</t>
  </si>
  <si>
    <t>diberikan</t>
  </si>
  <si>
    <t>oleh</t>
  </si>
  <si>
    <t>Orang-orang</t>
  </si>
  <si>
    <t>seperti</t>
  </si>
  <si>
    <t>terperangkap</t>
  </si>
  <si>
    <t>kandang</t>
  </si>
  <si>
    <t>keterasingan</t>
  </si>
  <si>
    <t>disebabkan</t>
  </si>
  <si>
    <t>terhipnotis</t>
  </si>
  <si>
    <t>terbaru.</t>
  </si>
  <si>
    <t>mengakrabkan</t>
  </si>
  <si>
    <t>jauh</t>
  </si>
  <si>
    <t>tapi</t>
  </si>
  <si>
    <t>menjauhkan</t>
  </si>
  <si>
    <t>akrab</t>
  </si>
  <si>
    <t>Kita</t>
  </si>
  <si>
    <t>kurang</t>
  </si>
  <si>
    <t>ada</t>
  </si>
  <si>
    <t>sekeliling</t>
  </si>
  <si>
    <t>jelas</t>
  </si>
  <si>
    <t>tampak</t>
  </si>
  <si>
    <t>mata</t>
  </si>
  <si>
    <t>Satu</t>
  </si>
  <si>
    <t>saat</t>
  </si>
  <si>
    <t>akan</t>
  </si>
  <si>
    <t>binasa</t>
  </si>
  <si>
    <t>kemajuan</t>
  </si>
  <si>
    <t>teknologi</t>
  </si>
  <si>
    <t>melenyapkannya.</t>
  </si>
  <si>
    <t>Itu</t>
  </si>
  <si>
    <t>benar</t>
  </si>
  <si>
    <t>karena</t>
  </si>
  <si>
    <t>seakan</t>
  </si>
  <si>
    <t>kehilangan</t>
  </si>
  <si>
    <t>alat</t>
  </si>
  <si>
    <t>dibandingkan</t>
  </si>
  <si>
    <t>ditinggalkan</t>
  </si>
  <si>
    <t>kita</t>
  </si>
  <si>
    <t>cintai</t>
  </si>
  <si>
    <t>total kata yang makna sama</t>
  </si>
  <si>
    <t>total kata dari kedua kalimat</t>
  </si>
  <si>
    <t>(yang nilai presentase paling besar dapat point 1)</t>
  </si>
  <si>
    <t>Kasus pada file asli dan plagiat presentase paling besar 20.6896 %</t>
  </si>
  <si>
    <t xml:space="preserve">jadi dapat point 1 </t>
  </si>
  <si>
    <t>proses di lakukan pada kalimat selanjutnya hingga selesai</t>
  </si>
  <si>
    <t xml:space="preserve">kemudian point terkumpul misalnya : nilai = 9 dari total kalimat ada 10 maka </t>
  </si>
  <si>
    <t>perhitungan terakhir adalah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</si>
</sst>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  <xf numFmtId="0" fontId="0" fillId="9" borderId="0" xfId="0" applyFill="1"/>
    <xf numFmtId="0" fontId="1" fillId="0" borderId="0" xfId="0" applyFont="1" applyFill="1"/>
    <xf numFmtId="0" fontId="0" fillId="10" borderId="0" xfId="0" applyFill="1"/>
    <xf numFmtId="0" fontId="1" fillId="9" borderId="0" xfId="0" applyFont="1" applyFill="1"/>
    <xf numFmtId="0" fontId="1" fillId="4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Z66"/>
  <sheetViews>
    <sheetView tabSelected="1" topLeftCell="B1" zoomScale="80" zoomScaleNormal="80" workbookViewId="0">
      <selection activeCell="T12" sqref="T12:Z12"/>
    </sheetView>
  </sheetViews>
  <sheetFormatPr defaultRowHeight="15" x14ac:dyDescent="0.25"/>
  <cols>
    <col min="3" max="3" width="15.42578125" customWidth="1"/>
    <col min="4" max="4" width="14" customWidth="1"/>
    <col min="5" max="5" width="13.140625" customWidth="1"/>
    <col min="6" max="6" width="14.42578125" customWidth="1"/>
    <col min="7" max="7" width="13" customWidth="1"/>
    <col min="10" max="10" width="16.42578125" customWidth="1"/>
    <col min="13" max="13" width="12.140625" customWidth="1"/>
    <col min="15" max="15" width="10.85546875" customWidth="1"/>
    <col min="16" max="16" width="12.42578125" customWidth="1"/>
    <col min="22" max="22" width="15.7109375" customWidth="1"/>
    <col min="23" max="23" width="10.5703125" customWidth="1"/>
    <col min="24" max="24" width="9.5703125" customWidth="1"/>
    <col min="25" max="25" width="10" customWidth="1"/>
    <col min="26" max="26" width="16.140625" customWidth="1"/>
    <col min="27" max="27" width="13.5703125" customWidth="1"/>
    <col min="28" max="28" width="11.140625" customWidth="1"/>
    <col min="29" max="29" width="13.7109375" customWidth="1"/>
    <col min="30" max="30" width="11.5703125" customWidth="1"/>
    <col min="31" max="31" width="8.42578125" customWidth="1"/>
    <col min="32" max="32" width="12.5703125" customWidth="1"/>
    <col min="34" max="34" width="12.85546875" customWidth="1"/>
  </cols>
  <sheetData>
    <row r="3" spans="3:26" x14ac:dyDescent="0.25">
      <c r="C3" s="1" t="s">
        <v>0</v>
      </c>
      <c r="D3" s="3" t="s">
        <v>1</v>
      </c>
      <c r="E3" t="s">
        <v>2</v>
      </c>
      <c r="F3" t="s">
        <v>3</v>
      </c>
      <c r="G3" t="s">
        <v>4</v>
      </c>
      <c r="H3" s="4" t="s">
        <v>5</v>
      </c>
      <c r="I3" s="5" t="s">
        <v>6</v>
      </c>
      <c r="J3" t="s">
        <v>3</v>
      </c>
      <c r="K3" s="6" t="s">
        <v>7</v>
      </c>
      <c r="L3" t="s">
        <v>8</v>
      </c>
      <c r="M3" s="7" t="s">
        <v>9</v>
      </c>
      <c r="N3" t="s">
        <v>10</v>
      </c>
      <c r="O3" t="s">
        <v>11</v>
      </c>
    </row>
    <row r="4" spans="3:26" x14ac:dyDescent="0.25">
      <c r="C4" s="1"/>
      <c r="T4" s="15" t="s">
        <v>79</v>
      </c>
      <c r="U4" s="15"/>
      <c r="V4" s="15"/>
      <c r="W4" s="3"/>
      <c r="X4" s="3"/>
      <c r="Y4" s="3"/>
      <c r="Z4" s="3"/>
    </row>
    <row r="5" spans="3:26" x14ac:dyDescent="0.25">
      <c r="C5" s="1" t="s">
        <v>12</v>
      </c>
      <c r="D5" t="s">
        <v>13</v>
      </c>
      <c r="E5" s="3" t="s">
        <v>14</v>
      </c>
      <c r="F5" t="s">
        <v>2</v>
      </c>
      <c r="G5" t="s">
        <v>15</v>
      </c>
      <c r="H5" t="s">
        <v>16</v>
      </c>
      <c r="I5" t="s">
        <v>17</v>
      </c>
      <c r="J5" s="4" t="s">
        <v>18</v>
      </c>
      <c r="K5" t="s">
        <v>19</v>
      </c>
      <c r="L5" s="5" t="s">
        <v>20</v>
      </c>
      <c r="M5" t="s">
        <v>3</v>
      </c>
      <c r="N5" s="6" t="s">
        <v>21</v>
      </c>
      <c r="O5" t="s">
        <v>8</v>
      </c>
      <c r="P5" s="7" t="s">
        <v>22</v>
      </c>
      <c r="Q5" t="s">
        <v>10</v>
      </c>
      <c r="R5" t="s">
        <v>11</v>
      </c>
      <c r="T5" s="15"/>
      <c r="U5" s="15"/>
      <c r="V5" s="15"/>
      <c r="W5" s="3"/>
      <c r="X5" s="3"/>
      <c r="Y5" s="3"/>
      <c r="Z5" s="3"/>
    </row>
    <row r="6" spans="3:26" x14ac:dyDescent="0.25">
      <c r="T6" s="3"/>
      <c r="U6" s="3"/>
      <c r="V6" s="3"/>
      <c r="W6" s="3"/>
      <c r="X6" s="3"/>
      <c r="Y6" s="3"/>
      <c r="Z6" s="3"/>
    </row>
    <row r="7" spans="3:26" x14ac:dyDescent="0.25">
      <c r="T7" s="3" t="s">
        <v>80</v>
      </c>
      <c r="U7" s="3"/>
      <c r="V7" s="3"/>
      <c r="W7" s="3"/>
      <c r="X7" s="3"/>
      <c r="Y7" s="3"/>
      <c r="Z7" s="3"/>
    </row>
    <row r="8" spans="3:26" x14ac:dyDescent="0.25">
      <c r="C8" s="14" t="s">
        <v>77</v>
      </c>
      <c r="D8" s="14"/>
      <c r="E8">
        <v>6</v>
      </c>
      <c r="F8">
        <f>6/29*100</f>
        <v>20.689655172413794</v>
      </c>
      <c r="T8" s="3" t="s">
        <v>81</v>
      </c>
      <c r="U8" s="3"/>
      <c r="V8" s="3"/>
      <c r="W8" s="3"/>
      <c r="X8" s="3"/>
      <c r="Y8" s="3"/>
      <c r="Z8" s="3"/>
    </row>
    <row r="9" spans="3:26" x14ac:dyDescent="0.25">
      <c r="C9" t="s">
        <v>78</v>
      </c>
      <c r="E9">
        <v>29</v>
      </c>
      <c r="T9" s="3" t="s">
        <v>82</v>
      </c>
      <c r="U9" s="3"/>
      <c r="V9" s="3"/>
      <c r="W9" s="3"/>
      <c r="X9" s="3"/>
      <c r="Y9" s="3"/>
      <c r="Z9" s="3"/>
    </row>
    <row r="10" spans="3:26" x14ac:dyDescent="0.25">
      <c r="T10" s="3"/>
      <c r="U10" s="3"/>
      <c r="V10" s="3"/>
      <c r="W10" s="3"/>
      <c r="X10" s="3"/>
      <c r="Y10" s="3"/>
      <c r="Z10" s="3"/>
    </row>
    <row r="11" spans="3:26" x14ac:dyDescent="0.25">
      <c r="C11" s="8"/>
      <c r="D11" s="8"/>
      <c r="E11" s="8"/>
      <c r="T11" s="3" t="s">
        <v>83</v>
      </c>
      <c r="U11" s="3"/>
      <c r="V11" s="3"/>
      <c r="W11" s="3"/>
      <c r="X11" s="3"/>
      <c r="Y11" s="3"/>
      <c r="Z11" s="3"/>
    </row>
    <row r="12" spans="3:26" x14ac:dyDescent="0.25">
      <c r="C12" s="8" t="s">
        <v>0</v>
      </c>
      <c r="D12" s="8" t="s">
        <v>1</v>
      </c>
      <c r="E12" s="8" t="s">
        <v>2</v>
      </c>
      <c r="F12" s="8" t="s">
        <v>3</v>
      </c>
      <c r="G12" s="8" t="s">
        <v>4</v>
      </c>
      <c r="H12" s="8" t="s">
        <v>5</v>
      </c>
      <c r="I12" s="9" t="s">
        <v>6</v>
      </c>
      <c r="J12" s="8" t="s">
        <v>3</v>
      </c>
      <c r="K12" s="9" t="s">
        <v>7</v>
      </c>
      <c r="L12" s="8" t="s">
        <v>8</v>
      </c>
      <c r="M12" s="8" t="s">
        <v>9</v>
      </c>
      <c r="N12" s="8" t="s">
        <v>10</v>
      </c>
      <c r="O12" s="8" t="s">
        <v>11</v>
      </c>
      <c r="T12" s="3" t="s">
        <v>84</v>
      </c>
      <c r="U12" s="3"/>
      <c r="V12" s="3"/>
      <c r="W12" s="3">
        <f>9/10*100</f>
        <v>90</v>
      </c>
      <c r="X12" s="3"/>
      <c r="Y12" s="3"/>
      <c r="Z12" s="3"/>
    </row>
    <row r="13" spans="3:26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3:26" x14ac:dyDescent="0.25">
      <c r="C14" s="8" t="s">
        <v>23</v>
      </c>
      <c r="D14" s="8" t="s">
        <v>3</v>
      </c>
      <c r="E14" s="9" t="s">
        <v>21</v>
      </c>
      <c r="F14" s="8" t="s">
        <v>8</v>
      </c>
      <c r="G14" s="8" t="s">
        <v>22</v>
      </c>
      <c r="H14" s="9" t="s">
        <v>20</v>
      </c>
      <c r="I14" s="8" t="s">
        <v>25</v>
      </c>
      <c r="J14" s="8" t="s">
        <v>28</v>
      </c>
      <c r="K14" s="8" t="s">
        <v>26</v>
      </c>
      <c r="L14" s="8" t="s">
        <v>10</v>
      </c>
      <c r="M14" s="8" t="s">
        <v>7</v>
      </c>
      <c r="N14" s="8" t="s">
        <v>29</v>
      </c>
      <c r="O14" s="8" t="s">
        <v>27</v>
      </c>
      <c r="P14" s="8"/>
      <c r="Q14" s="8"/>
    </row>
    <row r="15" spans="3:26" x14ac:dyDescent="0.25">
      <c r="P15" s="8"/>
      <c r="Q15" s="8"/>
    </row>
    <row r="16" spans="3:26" x14ac:dyDescent="0.25">
      <c r="C16">
        <f>2/26*100</f>
        <v>7.6923076923076925</v>
      </c>
      <c r="P16" s="8"/>
      <c r="Q16" s="8"/>
    </row>
    <row r="17" spans="3:17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3:17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3:17" x14ac:dyDescent="0.25">
      <c r="C19" s="8" t="s">
        <v>0</v>
      </c>
      <c r="D19" s="8" t="s">
        <v>1</v>
      </c>
      <c r="E19" s="8" t="s">
        <v>2</v>
      </c>
      <c r="F19" s="8" t="s">
        <v>3</v>
      </c>
      <c r="G19" s="8" t="s">
        <v>4</v>
      </c>
      <c r="H19" s="8" t="s">
        <v>5</v>
      </c>
      <c r="I19" s="9" t="s">
        <v>6</v>
      </c>
      <c r="J19" s="8" t="s">
        <v>3</v>
      </c>
      <c r="K19" s="12" t="s">
        <v>7</v>
      </c>
      <c r="L19" s="8" t="s">
        <v>8</v>
      </c>
      <c r="M19" s="9" t="s">
        <v>9</v>
      </c>
      <c r="N19" s="8" t="s">
        <v>10</v>
      </c>
      <c r="O19" s="8" t="s">
        <v>11</v>
      </c>
      <c r="P19" s="8"/>
      <c r="Q19" s="8"/>
    </row>
    <row r="20" spans="3:17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3:17" x14ac:dyDescent="0.25">
      <c r="C21" s="8" t="s">
        <v>23</v>
      </c>
      <c r="D21" s="8" t="s">
        <v>3</v>
      </c>
      <c r="E21" s="12" t="s">
        <v>21</v>
      </c>
      <c r="F21" s="8" t="s">
        <v>8</v>
      </c>
      <c r="G21" s="9" t="s">
        <v>22</v>
      </c>
      <c r="H21" s="9" t="s">
        <v>20</v>
      </c>
      <c r="I21" s="8" t="s">
        <v>25</v>
      </c>
      <c r="J21" s="8" t="s">
        <v>28</v>
      </c>
      <c r="K21" s="8" t="s">
        <v>26</v>
      </c>
      <c r="L21" s="8" t="s">
        <v>10</v>
      </c>
      <c r="M21" s="8" t="s">
        <v>7</v>
      </c>
      <c r="N21" s="8" t="s">
        <v>29</v>
      </c>
      <c r="O21" s="8" t="s">
        <v>47</v>
      </c>
      <c r="P21" s="8"/>
      <c r="Q21" s="8"/>
    </row>
    <row r="22" spans="3:17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3:17" x14ac:dyDescent="0.25">
      <c r="C23" s="8">
        <f>3/26*100</f>
        <v>11.538461538461538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3:17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3:17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3:17" x14ac:dyDescent="0.25">
      <c r="C26" s="8" t="s">
        <v>0</v>
      </c>
      <c r="D26" s="8" t="s">
        <v>1</v>
      </c>
      <c r="E26" s="8" t="s">
        <v>2</v>
      </c>
      <c r="F26" s="8" t="s">
        <v>3</v>
      </c>
      <c r="G26" s="8" t="s">
        <v>4</v>
      </c>
      <c r="H26" s="8" t="s">
        <v>5</v>
      </c>
      <c r="I26" s="3" t="s">
        <v>6</v>
      </c>
      <c r="J26" s="8" t="s">
        <v>3</v>
      </c>
      <c r="K26" s="10" t="s">
        <v>7</v>
      </c>
      <c r="L26" s="8" t="s">
        <v>8</v>
      </c>
      <c r="M26" s="3" t="s">
        <v>9</v>
      </c>
      <c r="N26" s="8" t="s">
        <v>10</v>
      </c>
      <c r="O26" s="8" t="s">
        <v>11</v>
      </c>
      <c r="P26" s="8"/>
      <c r="Q26" s="8"/>
    </row>
    <row r="27" spans="3:17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3:17" x14ac:dyDescent="0.25">
      <c r="C28" s="8" t="s">
        <v>30</v>
      </c>
      <c r="D28" s="8" t="s">
        <v>31</v>
      </c>
      <c r="E28" s="8" t="s">
        <v>32</v>
      </c>
      <c r="F28" s="8" t="s">
        <v>2</v>
      </c>
      <c r="G28" s="8" t="s">
        <v>33</v>
      </c>
      <c r="H28" s="3" t="s">
        <v>20</v>
      </c>
      <c r="I28" s="8" t="s">
        <v>8</v>
      </c>
      <c r="J28" s="8" t="s">
        <v>34</v>
      </c>
      <c r="K28" s="3" t="s">
        <v>22</v>
      </c>
      <c r="L28" s="8" t="s">
        <v>29</v>
      </c>
      <c r="M28" s="8" t="s">
        <v>28</v>
      </c>
      <c r="N28" s="8" t="s">
        <v>26</v>
      </c>
      <c r="O28" s="8" t="s">
        <v>35</v>
      </c>
      <c r="P28" s="8" t="s">
        <v>36</v>
      </c>
      <c r="Q28" s="8"/>
    </row>
    <row r="29" spans="3:17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3:17" x14ac:dyDescent="0.25">
      <c r="C30" s="8">
        <f>2/27*100</f>
        <v>7.4074074074074066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3:17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3:17" x14ac:dyDescent="0.25">
      <c r="C32" s="8" t="s">
        <v>0</v>
      </c>
      <c r="D32" s="8" t="s">
        <v>1</v>
      </c>
      <c r="E32" s="8" t="s">
        <v>2</v>
      </c>
      <c r="F32" s="8" t="s">
        <v>3</v>
      </c>
      <c r="G32" s="8" t="s">
        <v>4</v>
      </c>
      <c r="H32" s="8" t="s">
        <v>5</v>
      </c>
      <c r="I32" s="8" t="s">
        <v>6</v>
      </c>
      <c r="J32" s="8" t="s">
        <v>3</v>
      </c>
      <c r="K32" s="10" t="s">
        <v>7</v>
      </c>
      <c r="L32" s="8" t="s">
        <v>8</v>
      </c>
      <c r="M32" s="8" t="s">
        <v>9</v>
      </c>
      <c r="N32" s="8" t="s">
        <v>10</v>
      </c>
      <c r="O32" s="8" t="s">
        <v>11</v>
      </c>
      <c r="P32" s="8"/>
      <c r="Q32" s="8"/>
    </row>
    <row r="33" spans="3:17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3:17" x14ac:dyDescent="0.25">
      <c r="C34" s="8" t="s">
        <v>37</v>
      </c>
      <c r="D34" s="8" t="s">
        <v>3</v>
      </c>
      <c r="E34" s="8" t="s">
        <v>38</v>
      </c>
      <c r="F34" s="8" t="s">
        <v>24</v>
      </c>
      <c r="G34" s="8" t="s">
        <v>39</v>
      </c>
      <c r="H34" s="8" t="s">
        <v>36</v>
      </c>
      <c r="I34" s="8"/>
      <c r="J34" s="8"/>
      <c r="K34" s="8"/>
      <c r="L34" s="8"/>
      <c r="M34" s="8"/>
      <c r="N34" s="8"/>
      <c r="O34" s="8"/>
      <c r="P34" s="8"/>
      <c r="Q34" s="8"/>
    </row>
    <row r="35" spans="3:17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3:17" x14ac:dyDescent="0.25">
      <c r="C36" s="8">
        <f>0/19*100</f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8" spans="3:17" x14ac:dyDescent="0.25">
      <c r="C38" s="8" t="s">
        <v>0</v>
      </c>
      <c r="D38" s="8" t="s">
        <v>1</v>
      </c>
      <c r="E38" s="8" t="s">
        <v>2</v>
      </c>
      <c r="F38" s="8" t="s">
        <v>3</v>
      </c>
      <c r="G38" s="8" t="s">
        <v>4</v>
      </c>
      <c r="H38" s="8" t="s">
        <v>5</v>
      </c>
      <c r="I38" s="11" t="s">
        <v>6</v>
      </c>
      <c r="J38" s="8" t="s">
        <v>3</v>
      </c>
      <c r="K38" s="10" t="s">
        <v>7</v>
      </c>
      <c r="L38" s="8" t="s">
        <v>8</v>
      </c>
      <c r="M38" s="8" t="s">
        <v>9</v>
      </c>
      <c r="N38" s="8" t="s">
        <v>10</v>
      </c>
      <c r="O38" s="8" t="s">
        <v>11</v>
      </c>
    </row>
    <row r="40" spans="3:17" x14ac:dyDescent="0.25">
      <c r="C40" t="s">
        <v>40</v>
      </c>
      <c r="D40" t="s">
        <v>41</v>
      </c>
      <c r="E40" t="s">
        <v>42</v>
      </c>
      <c r="F40" t="s">
        <v>8</v>
      </c>
      <c r="G40" t="s">
        <v>43</v>
      </c>
      <c r="H40" t="s">
        <v>44</v>
      </c>
      <c r="I40" t="s">
        <v>2</v>
      </c>
      <c r="J40" t="s">
        <v>45</v>
      </c>
      <c r="K40" t="s">
        <v>39</v>
      </c>
      <c r="L40" s="11" t="s">
        <v>20</v>
      </c>
      <c r="M40" t="s">
        <v>46</v>
      </c>
      <c r="N40" t="s">
        <v>8</v>
      </c>
      <c r="O40" t="s">
        <v>24</v>
      </c>
      <c r="P40" t="s">
        <v>2</v>
      </c>
      <c r="Q40" t="s">
        <v>38</v>
      </c>
    </row>
    <row r="42" spans="3:17" x14ac:dyDescent="0.25">
      <c r="C42">
        <f>1/28*100</f>
        <v>3.5714285714285712</v>
      </c>
    </row>
    <row r="44" spans="3:17" x14ac:dyDescent="0.25">
      <c r="C44" s="2" t="s">
        <v>0</v>
      </c>
      <c r="D44" s="2" t="s">
        <v>1</v>
      </c>
      <c r="E44" s="8" t="s">
        <v>2</v>
      </c>
      <c r="F44" s="8" t="s">
        <v>3</v>
      </c>
      <c r="G44" s="8" t="s">
        <v>4</v>
      </c>
      <c r="H44" s="8" t="s">
        <v>5</v>
      </c>
      <c r="I44" s="8" t="s">
        <v>6</v>
      </c>
      <c r="J44" s="8" t="s">
        <v>3</v>
      </c>
      <c r="K44" s="10" t="s">
        <v>7</v>
      </c>
      <c r="L44" s="8" t="s">
        <v>8</v>
      </c>
      <c r="M44" s="8" t="s">
        <v>9</v>
      </c>
      <c r="N44" s="8" t="s">
        <v>10</v>
      </c>
      <c r="O44" s="8" t="s">
        <v>11</v>
      </c>
    </row>
    <row r="46" spans="3:17" x14ac:dyDescent="0.25">
      <c r="C46" s="2" t="s">
        <v>12</v>
      </c>
      <c r="D46" t="s">
        <v>13</v>
      </c>
      <c r="E46" s="2" t="s">
        <v>14</v>
      </c>
      <c r="F46" t="s">
        <v>2</v>
      </c>
      <c r="G46" t="s">
        <v>16</v>
      </c>
      <c r="H46" t="s">
        <v>17</v>
      </c>
      <c r="I46" t="s">
        <v>48</v>
      </c>
      <c r="J46" t="s">
        <v>2</v>
      </c>
      <c r="K46" t="s">
        <v>49</v>
      </c>
      <c r="L46" t="s">
        <v>50</v>
      </c>
      <c r="M46" t="s">
        <v>51</v>
      </c>
      <c r="N46" t="s">
        <v>2</v>
      </c>
      <c r="O46" t="s">
        <v>52</v>
      </c>
    </row>
    <row r="48" spans="3:17" x14ac:dyDescent="0.25">
      <c r="C48">
        <f>2/26*100</f>
        <v>7.6923076923076925</v>
      </c>
    </row>
    <row r="50" spans="3:20" x14ac:dyDescent="0.25">
      <c r="C50" s="8" t="s">
        <v>0</v>
      </c>
      <c r="D50" s="8" t="s">
        <v>1</v>
      </c>
      <c r="E50" s="8" t="s">
        <v>2</v>
      </c>
      <c r="F50" s="8" t="s">
        <v>3</v>
      </c>
      <c r="G50" s="8" t="s">
        <v>4</v>
      </c>
      <c r="H50" s="8" t="s">
        <v>5</v>
      </c>
      <c r="I50" s="8" t="s">
        <v>6</v>
      </c>
      <c r="J50" s="8" t="s">
        <v>3</v>
      </c>
      <c r="K50" s="10" t="s">
        <v>7</v>
      </c>
      <c r="L50" s="8" t="s">
        <v>8</v>
      </c>
      <c r="M50" s="2" t="s">
        <v>9</v>
      </c>
      <c r="N50" s="8" t="s">
        <v>10</v>
      </c>
      <c r="O50" s="8" t="s">
        <v>11</v>
      </c>
    </row>
    <row r="52" spans="3:20" x14ac:dyDescent="0.25">
      <c r="C52" t="s">
        <v>53</v>
      </c>
      <c r="D52" t="s">
        <v>3</v>
      </c>
      <c r="E52" t="s">
        <v>54</v>
      </c>
      <c r="F52" s="2" t="s">
        <v>22</v>
      </c>
      <c r="G52" t="s">
        <v>10</v>
      </c>
      <c r="H52" t="s">
        <v>2</v>
      </c>
      <c r="I52" t="s">
        <v>55</v>
      </c>
      <c r="J52" t="s">
        <v>56</v>
      </c>
      <c r="K52" t="s">
        <v>2</v>
      </c>
      <c r="L52" t="s">
        <v>57</v>
      </c>
      <c r="M52" t="s">
        <v>58</v>
      </c>
      <c r="N52" t="s">
        <v>39</v>
      </c>
      <c r="O52" t="s">
        <v>59</v>
      </c>
    </row>
    <row r="54" spans="3:20" x14ac:dyDescent="0.25">
      <c r="C54">
        <f>1/26*100</f>
        <v>3.8461538461538463</v>
      </c>
    </row>
    <row r="56" spans="3:20" x14ac:dyDescent="0.25">
      <c r="C56" s="3" t="s">
        <v>0</v>
      </c>
      <c r="D56" s="8" t="s">
        <v>1</v>
      </c>
      <c r="E56" s="8" t="s">
        <v>2</v>
      </c>
      <c r="F56" s="8" t="s">
        <v>3</v>
      </c>
      <c r="G56" s="8" t="s">
        <v>4</v>
      </c>
      <c r="H56" s="8" t="s">
        <v>5</v>
      </c>
      <c r="I56" s="8" t="s">
        <v>6</v>
      </c>
      <c r="J56" s="8" t="s">
        <v>3</v>
      </c>
      <c r="K56" s="10" t="s">
        <v>7</v>
      </c>
      <c r="L56" s="8" t="s">
        <v>8</v>
      </c>
      <c r="M56" s="8" t="s">
        <v>9</v>
      </c>
      <c r="N56" s="8" t="s">
        <v>10</v>
      </c>
      <c r="O56" s="8" t="s">
        <v>11</v>
      </c>
    </row>
    <row r="58" spans="3:20" x14ac:dyDescent="0.25">
      <c r="C58" t="s">
        <v>60</v>
      </c>
      <c r="D58" t="s">
        <v>61</v>
      </c>
      <c r="E58" t="s">
        <v>6</v>
      </c>
      <c r="F58" t="s">
        <v>62</v>
      </c>
      <c r="G58" t="s">
        <v>63</v>
      </c>
      <c r="H58" t="s">
        <v>29</v>
      </c>
      <c r="I58" s="3" t="s">
        <v>64</v>
      </c>
      <c r="J58" t="s">
        <v>65</v>
      </c>
      <c r="K58" t="s">
        <v>2</v>
      </c>
      <c r="L58" t="s">
        <v>16</v>
      </c>
      <c r="M58" t="s">
        <v>2</v>
      </c>
      <c r="N58" t="s">
        <v>62</v>
      </c>
      <c r="O58" t="s">
        <v>66</v>
      </c>
    </row>
    <row r="60" spans="3:20" x14ac:dyDescent="0.25">
      <c r="C60">
        <f>1/26*100</f>
        <v>3.8461538461538463</v>
      </c>
    </row>
    <row r="62" spans="3:20" x14ac:dyDescent="0.25">
      <c r="C62" s="8" t="s">
        <v>0</v>
      </c>
      <c r="D62" s="8" t="s">
        <v>1</v>
      </c>
      <c r="E62" s="8" t="s">
        <v>2</v>
      </c>
      <c r="F62" s="8" t="s">
        <v>3</v>
      </c>
      <c r="G62" s="8" t="s">
        <v>4</v>
      </c>
      <c r="H62" s="8" t="s">
        <v>5</v>
      </c>
      <c r="I62" s="13" t="s">
        <v>6</v>
      </c>
      <c r="J62" s="8" t="s">
        <v>3</v>
      </c>
      <c r="K62" s="10" t="s">
        <v>7</v>
      </c>
      <c r="L62" s="8" t="s">
        <v>8</v>
      </c>
      <c r="M62" s="8" t="s">
        <v>9</v>
      </c>
      <c r="N62" s="8" t="s">
        <v>10</v>
      </c>
      <c r="O62" s="8" t="s">
        <v>11</v>
      </c>
    </row>
    <row r="64" spans="3:20" x14ac:dyDescent="0.25">
      <c r="C64" t="s">
        <v>67</v>
      </c>
      <c r="D64" t="s">
        <v>68</v>
      </c>
      <c r="E64" t="s">
        <v>69</v>
      </c>
      <c r="F64" s="13" t="s">
        <v>20</v>
      </c>
      <c r="G64" t="s">
        <v>70</v>
      </c>
      <c r="H64" t="s">
        <v>63</v>
      </c>
      <c r="I64" t="s">
        <v>69</v>
      </c>
      <c r="J64" t="s">
        <v>71</v>
      </c>
      <c r="K64" t="s">
        <v>72</v>
      </c>
      <c r="L64" t="s">
        <v>2</v>
      </c>
      <c r="M64" t="s">
        <v>4</v>
      </c>
      <c r="N64" t="s">
        <v>73</v>
      </c>
      <c r="O64" t="s">
        <v>74</v>
      </c>
      <c r="P64" t="s">
        <v>39</v>
      </c>
      <c r="Q64" s="3" t="s">
        <v>20</v>
      </c>
      <c r="R64" t="s">
        <v>2</v>
      </c>
      <c r="S64" t="s">
        <v>75</v>
      </c>
      <c r="T64" t="s">
        <v>76</v>
      </c>
    </row>
    <row r="66" spans="3:3" x14ac:dyDescent="0.25">
      <c r="C66">
        <f>2/31*100</f>
        <v>6.4516129032258061</v>
      </c>
    </row>
  </sheetData>
  <mergeCells count="2">
    <mergeCell ref="C8:D8"/>
    <mergeCell ref="T4:V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ASUS_A455LD</cp:lastModifiedBy>
  <dcterms:created xsi:type="dcterms:W3CDTF">2016-08-12T06:47:17Z</dcterms:created>
  <dcterms:modified xsi:type="dcterms:W3CDTF">2016-08-12T07:52:20Z</dcterms:modified>
</cp:coreProperties>
</file>